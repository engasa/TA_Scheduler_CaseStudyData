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abdallah_mohamed_ubc_ca/Documents/_UBCO/Educational Leadership/3. Papers/In_Progress/Journals/TA Scheduling/1. Prep/CaseStudies/_2023W1-used in paper/_posted online for reviewers/2. Results/"/>
    </mc:Choice>
  </mc:AlternateContent>
  <xr:revisionPtr revIDLastSave="48" documentId="8_{D3B0C5C2-BF4B-4175-940C-72EE90EDE647}" xr6:coauthVersionLast="47" xr6:coauthVersionMax="47" xr10:uidLastSave="{9EEE2778-B4ED-46B3-8CC4-3FA7B61FFA9A}"/>
  <bookViews>
    <workbookView xWindow="3510" yWindow="3510" windowWidth="21600" windowHeight="11295" xr2:uid="{2443B56F-EE6B-46E4-95A7-4A7B8C340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I2" i="1"/>
  <c r="I3" i="1"/>
  <c r="I4" i="1"/>
  <c r="I5" i="1"/>
  <c r="K3" i="1"/>
  <c r="K4" i="1"/>
  <c r="K5" i="1"/>
  <c r="K2" i="1"/>
  <c r="A18" i="1"/>
  <c r="D10" i="1"/>
  <c r="F10" i="1"/>
  <c r="G10" i="1"/>
  <c r="H10" i="1"/>
  <c r="D11" i="1"/>
  <c r="F11" i="1"/>
  <c r="G11" i="1"/>
  <c r="H11" i="1"/>
  <c r="D12" i="1"/>
  <c r="F12" i="1"/>
  <c r="G12" i="1"/>
  <c r="H12" i="1"/>
  <c r="D13" i="1"/>
  <c r="F13" i="1"/>
  <c r="G13" i="1"/>
  <c r="H13" i="1"/>
  <c r="C5" i="1"/>
  <c r="C4" i="1"/>
  <c r="C3" i="1"/>
  <c r="C2" i="1"/>
  <c r="C10" i="1" s="1"/>
  <c r="C12" i="1" l="1"/>
  <c r="C13" i="1"/>
  <c r="C11" i="1"/>
</calcChain>
</file>

<file path=xl/sharedStrings.xml><?xml version="1.0" encoding="utf-8"?>
<sst xmlns="http://schemas.openxmlformats.org/spreadsheetml/2006/main" count="16" uniqueCount="15">
  <si>
    <t>Iteration</t>
  </si>
  <si>
    <t>M3. GPA</t>
  </si>
  <si>
    <t>M5. Preferred Assignments</t>
  </si>
  <si>
    <t>M4. Prior Experience</t>
  </si>
  <si>
    <t>M2. Teach-Grade Correlation</t>
  </si>
  <si>
    <t>Num Prep Tasks</t>
  </si>
  <si>
    <t>Num TAs</t>
  </si>
  <si>
    <t>M1. Diff Crs/TA</t>
  </si>
  <si>
    <t>Num TAs with Exp</t>
  </si>
  <si>
    <t>M3. (Higher is better)</t>
  </si>
  <si>
    <t>M2. (Higher is better)</t>
  </si>
  <si>
    <r>
      <t>M1. (</t>
    </r>
    <r>
      <rPr>
        <sz val="11"/>
        <color rgb="FFFF0000"/>
        <rFont val="Calibri"/>
        <family val="2"/>
        <scheme val="minor"/>
      </rPr>
      <t xml:space="preserve">Lower </t>
    </r>
    <r>
      <rPr>
        <sz val="11"/>
        <color theme="1"/>
        <rFont val="Calibri"/>
        <family val="2"/>
        <scheme val="minor"/>
      </rPr>
      <t>is better)</t>
    </r>
  </si>
  <si>
    <t>M4. (Higher is better)</t>
  </si>
  <si>
    <t>M5. (Higher is better)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</si>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</sst>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0" fontId="0" fillId="0" borderId="0" xfId="0" applyNumberFormat="1"/>
    <xf numFmtId="9" fontId="0" fillId="0" borderId="0" xfId="1" applyFont="1"/>
    <xf numFmtId="0" fontId="3" fillId="0" borderId="0" xfId="0" applyFont="1"/>
    <xf numFmtId="164" fontId="0" fillId="0" borderId="0" xfId="0" applyNumberFormat="1"/>
    <xf numFmtId="165" fontId="0" fillId="0" borderId="0" xfId="1" applyNumberFormat="1" applyFont="1"/>
    <xf numFmtId="165" fontId="4" fillId="0" borderId="0" xfId="1" applyNumberFormat="1" applyFont="1"/>
    <xf numFmtId="10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M1. (Lower is better)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Sheet1!$C$10:$C$13</c:f>
              <c:numCache>
                <c:formatCode>0%</c:formatCode>
                <c:ptCount val="4"/>
                <c:pt idx="0">
                  <c:v>0.81129807692307687</c:v>
                </c:pt>
                <c:pt idx="1">
                  <c:v>0.82479508196721307</c:v>
                </c:pt>
                <c:pt idx="2">
                  <c:v>1</c:v>
                </c:pt>
                <c:pt idx="3">
                  <c:v>0.71659482758620685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2-444E-B985-DF61C66AE732}"/>
            </c:ext>
          </c:extLst>
        </c:ser>
        <c:ser>
          <c:idx val="1"/>
          <c:order val="1"/>
          <c:tx>
            <c:strRef>
              <c:f>Sheet1!$D$9</c:f>
              <c:strCache>
                <c:ptCount val="1"/>
                <c:pt idx="0">
                  <c:v>M2. (Higher is better)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Sheet1!$D$10:$D$13</c:f>
              <c:numCache>
                <c:formatCode>0%</c:formatCode>
                <c:ptCount val="4"/>
                <c:pt idx="0">
                  <c:v>1</c:v>
                </c:pt>
                <c:pt idx="1">
                  <c:v>0.78289473684210531</c:v>
                </c:pt>
                <c:pt idx="2">
                  <c:v>0.34868421052631576</c:v>
                </c:pt>
                <c:pt idx="3">
                  <c:v>0.94078947368421051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2-444E-B985-DF61C66AE732}"/>
            </c:ext>
          </c:extLst>
        </c:ser>
        <c:ser>
          <c:idx val="2"/>
          <c:order val="2"/>
          <c:tx>
            <c:strRef>
              <c:f>Sheet1!$F$9</c:f>
              <c:strCache>
                <c:ptCount val="1"/>
                <c:pt idx="0">
                  <c:v>M3. (Higher is better)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Sheet1!$F$10:$F$13</c:f>
              <c:numCache>
                <c:formatCode>0%</c:formatCode>
                <c:ptCount val="4"/>
                <c:pt idx="0">
                  <c:v>0.89219629927594535</c:v>
                </c:pt>
                <c:pt idx="1">
                  <c:v>0.90897597977244005</c:v>
                </c:pt>
                <c:pt idx="2">
                  <c:v>0.92426157912883578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02-444E-B985-DF61C66AE732}"/>
            </c:ext>
          </c:extLst>
        </c:ser>
        <c:ser>
          <c:idx val="3"/>
          <c:order val="3"/>
          <c:tx>
            <c:strRef>
              <c:f>Sheet1!$G$9</c:f>
              <c:strCache>
                <c:ptCount val="1"/>
                <c:pt idx="0">
                  <c:v>M4. (Higher is better)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Sheet1!$G$10:$G$13</c:f>
              <c:numCache>
                <c:formatCode>0%</c:formatCode>
                <c:ptCount val="4"/>
                <c:pt idx="0">
                  <c:v>0.94809688581314888</c:v>
                </c:pt>
                <c:pt idx="1">
                  <c:v>0.92214532871972332</c:v>
                </c:pt>
                <c:pt idx="2">
                  <c:v>0.99134948096885811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02-444E-B985-DF61C66AE732}"/>
            </c:ext>
          </c:extLst>
        </c:ser>
        <c:ser>
          <c:idx val="4"/>
          <c:order val="4"/>
          <c:tx>
            <c:strRef>
              <c:f>Sheet1!$H$9</c:f>
              <c:strCache>
                <c:ptCount val="1"/>
                <c:pt idx="0">
                  <c:v>M5. (Higher is better)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Sheet1!$H$10:$H$13</c:f>
              <c:numCache>
                <c:formatCode>0%</c:formatCode>
                <c:ptCount val="4"/>
                <c:pt idx="0">
                  <c:v>0.60285714285714287</c:v>
                </c:pt>
                <c:pt idx="1">
                  <c:v>0.88</c:v>
                </c:pt>
                <c:pt idx="2">
                  <c:v>0.94285714285714284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02-444E-B985-DF61C66A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695088"/>
        <c:axId val="2097692592"/>
      </c:barChart>
      <c:catAx>
        <c:axId val="209769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92592"/>
        <c:crosses val="autoZero"/>
        <c:auto val="1"/>
        <c:lblAlgn val="ctr"/>
        <c:lblOffset val="100"/>
        <c:noMultiLvlLbl val="0"/>
      </c:catAx>
      <c:valAx>
        <c:axId val="2097692592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69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064235536926746E-2"/>
          <c:y val="5.0925925925925923E-2"/>
          <c:w val="0.62085574655050135"/>
          <c:h val="0.8156160284524695"/>
        </c:manualLayout>
      </c:layout>
      <c:lineChart>
        <c:grouping val="standard"/>
        <c:varyColors val="0"/>
        <c:ser>
          <c:idx val="0"/>
          <c:order val="0"/>
          <c:tx>
            <c:strRef>
              <c:f>Sheet1!$C$9</c:f>
              <c:strCache>
                <c:ptCount val="1"/>
                <c:pt idx="0">
                  <c:v>M1. (Lower is better)</c:v>
                </c:pt>
              </c:strCache>
            </c:strRef>
          </c:tx>
          <c:spPr>
            <a:ln w="28575" cap="rnd">
              <a:solidFill>
                <a:srgbClr val="FF6600"/>
              </a:solidFill>
              <a:round/>
            </a:ln>
            <a:effectLst/>
          </c:spPr>
          <c:marker>
            <c:symbol val="none"/>
          </c:marker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Sheet1!$C$10:$C$13</c:f>
              <c:numCache>
                <c:formatCode>0%</c:formatCode>
                <c:ptCount val="4"/>
                <c:pt idx="0">
                  <c:v>0.81129807692307687</c:v>
                </c:pt>
                <c:pt idx="1">
                  <c:v>0.82479508196721307</c:v>
                </c:pt>
                <c:pt idx="2">
                  <c:v>1</c:v>
                </c:pt>
                <c:pt idx="3">
                  <c:v>0.71659482758620685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9-47BF-8A1F-A344FE5B4ECE}"/>
            </c:ext>
          </c:extLst>
        </c:ser>
        <c:ser>
          <c:idx val="1"/>
          <c:order val="1"/>
          <c:tx>
            <c:strRef>
              <c:f>Sheet1!$D$9</c:f>
              <c:strCache>
                <c:ptCount val="1"/>
                <c:pt idx="0">
                  <c:v>M2. (Higher is better)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Sheet1!$D$10:$D$13</c:f>
              <c:numCache>
                <c:formatCode>0%</c:formatCode>
                <c:ptCount val="4"/>
                <c:pt idx="0">
                  <c:v>1</c:v>
                </c:pt>
                <c:pt idx="1">
                  <c:v>0.78289473684210531</c:v>
                </c:pt>
                <c:pt idx="2">
                  <c:v>0.34868421052631576</c:v>
                </c:pt>
                <c:pt idx="3">
                  <c:v>0.94078947368421051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9-47BF-8A1F-A344FE5B4ECE}"/>
            </c:ext>
          </c:extLst>
        </c:ser>
        <c:ser>
          <c:idx val="2"/>
          <c:order val="2"/>
          <c:tx>
            <c:strRef>
              <c:f>Sheet1!$F$9</c:f>
              <c:strCache>
                <c:ptCount val="1"/>
                <c:pt idx="0">
                  <c:v>M3. (Higher is better)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Sheet1!$F$10:$F$13</c:f>
              <c:numCache>
                <c:formatCode>0%</c:formatCode>
                <c:ptCount val="4"/>
                <c:pt idx="0">
                  <c:v>0.89219629927594535</c:v>
                </c:pt>
                <c:pt idx="1">
                  <c:v>0.90897597977244005</c:v>
                </c:pt>
                <c:pt idx="2">
                  <c:v>0.92426157912883578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99-47BF-8A1F-A344FE5B4ECE}"/>
            </c:ext>
          </c:extLst>
        </c:ser>
        <c:ser>
          <c:idx val="3"/>
          <c:order val="3"/>
          <c:tx>
            <c:strRef>
              <c:f>Sheet1!$G$9</c:f>
              <c:strCache>
                <c:ptCount val="1"/>
                <c:pt idx="0">
                  <c:v>M4. (Higher is better)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Sheet1!$G$10:$G$13</c:f>
              <c:numCache>
                <c:formatCode>0%</c:formatCode>
                <c:ptCount val="4"/>
                <c:pt idx="0">
                  <c:v>0.94809688581314888</c:v>
                </c:pt>
                <c:pt idx="1">
                  <c:v>0.92214532871972332</c:v>
                </c:pt>
                <c:pt idx="2">
                  <c:v>0.99134948096885811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99-47BF-8A1F-A344FE5B4ECE}"/>
            </c:ext>
          </c:extLst>
        </c:ser>
        <c:ser>
          <c:idx val="4"/>
          <c:order val="4"/>
          <c:tx>
            <c:strRef>
              <c:f>Sheet1!$H$9</c:f>
              <c:strCache>
                <c:ptCount val="1"/>
                <c:pt idx="0">
                  <c:v>M5. (Higher is better)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Sheet1!$A$10:$A$13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Sheet1!$H$10:$H$13</c:f>
              <c:numCache>
                <c:formatCode>0%</c:formatCode>
                <c:ptCount val="4"/>
                <c:pt idx="0">
                  <c:v>0.60285714285714287</c:v>
                </c:pt>
                <c:pt idx="1">
                  <c:v>0.88</c:v>
                </c:pt>
                <c:pt idx="2">
                  <c:v>0.94285714285714284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99-47BF-8A1F-A344FE5B4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600832"/>
        <c:axId val="283610400"/>
      </c:lineChart>
      <c:catAx>
        <c:axId val="283600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Iteration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610400"/>
        <c:crosses val="autoZero"/>
        <c:auto val="1"/>
        <c:lblAlgn val="ctr"/>
        <c:lblOffset val="100"/>
        <c:noMultiLvlLbl val="0"/>
      </c:catAx>
      <c:valAx>
        <c:axId val="283610400"/>
        <c:scaling>
          <c:orientation val="minMax"/>
          <c:max val="1.1000000000000001"/>
          <c:min val="0.30000000000000004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Relative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28360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43727017136146"/>
          <c:y val="0.17418708078156897"/>
          <c:w val="0.32756272982863854"/>
          <c:h val="0.642366579177602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155575</xdr:colOff>
      <xdr:row>12</xdr:row>
      <xdr:rowOff>73025</xdr:rowOff>
    </xdr:from>
    <xdr:to>
      <xdr:col>21</xdr:col>
      <xdr:colOff>460375</xdr:colOff>
      <xdr:row>27</xdr:row>
      <xdr:rowOff>53975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ADE8FA-EA37-4CAA-81DB-87199E5B0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615950</xdr:colOff>
      <xdr:row>16</xdr:row>
      <xdr:rowOff>66675</xdr:rowOff>
    </xdr:from>
    <xdr:to>
      <xdr:col>10</xdr:col>
      <xdr:colOff>247651</xdr:colOff>
      <xdr:row>29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1B5E65-CF9D-478D-A0AB-443EDF30B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5BA8-1CB9-48F0-828E-27B076A66667}">
  <dimension ref="A1:M18"/>
  <sheetViews>
    <sheetView tabSelected="1" topLeftCell="A9" workbookViewId="0">
      <selection activeCell="F9" sqref="F9"/>
    </sheetView>
  </sheetViews>
  <sheetFormatPr defaultRowHeight="15" x14ac:dyDescent="0.25"/>
  <cols>
    <col min="3" max="3" width="13.42578125" bestFit="1" customWidth="1"/>
    <col min="7" max="7" width="14.42578125" bestFit="1" customWidth="1"/>
    <col min="11" max="11" width="9.5703125" bestFit="1" customWidth="1"/>
  </cols>
  <sheetData>
    <row r="1" spans="1:13" x14ac:dyDescent="0.25">
      <c r="A1" t="s">
        <v>0</v>
      </c>
      <c r="B1" t="s">
        <v>6</v>
      </c>
      <c r="C1" t="s">
        <v>7</v>
      </c>
      <c r="D1" t="s">
        <v>4</v>
      </c>
      <c r="F1" t="s">
        <v>1</v>
      </c>
      <c r="G1" t="s">
        <v>3</v>
      </c>
      <c r="H1" t="s">
        <v>2</v>
      </c>
      <c r="L1" s="3" t="s">
        <v>5</v>
      </c>
      <c r="M1" t="s">
        <v>8</v>
      </c>
    </row>
    <row r="2" spans="1:13" x14ac:dyDescent="0.25">
      <c r="A2">
        <v>1</v>
      </c>
      <c r="B2">
        <v>104</v>
      </c>
      <c r="C2" s="4">
        <f>L2/B2</f>
        <v>1.2980769230769231</v>
      </c>
      <c r="D2">
        <v>304</v>
      </c>
      <c r="E2" s="6">
        <f t="shared" ref="E2:E4" si="0">D2/370</f>
        <v>0.82162162162162167</v>
      </c>
      <c r="F2" s="1">
        <v>0.77629999999999999</v>
      </c>
      <c r="G2" s="1">
        <v>0.54800000000000004</v>
      </c>
      <c r="H2">
        <v>211</v>
      </c>
      <c r="I2" s="6">
        <f t="shared" ref="I2:I4" si="1">H2/370</f>
        <v>0.57027027027027022</v>
      </c>
      <c r="K2" s="5">
        <f>M2/B2</f>
        <v>0.54807692307692313</v>
      </c>
      <c r="L2">
        <v>135</v>
      </c>
      <c r="M2">
        <v>57</v>
      </c>
    </row>
    <row r="3" spans="1:13" x14ac:dyDescent="0.25">
      <c r="A3">
        <v>2</v>
      </c>
      <c r="B3">
        <v>122</v>
      </c>
      <c r="C3" s="4">
        <f>L3/B3</f>
        <v>1.319672131147541</v>
      </c>
      <c r="D3">
        <v>238</v>
      </c>
      <c r="E3" s="6">
        <f t="shared" si="0"/>
        <v>0.64324324324324322</v>
      </c>
      <c r="F3" s="1">
        <v>0.79090000000000005</v>
      </c>
      <c r="G3" s="1">
        <v>0.53300000000000003</v>
      </c>
      <c r="H3">
        <v>308</v>
      </c>
      <c r="I3" s="6">
        <f t="shared" si="1"/>
        <v>0.83243243243243248</v>
      </c>
      <c r="K3" s="5">
        <f>M3/B3</f>
        <v>0.53278688524590168</v>
      </c>
      <c r="L3">
        <v>161</v>
      </c>
      <c r="M3">
        <v>65</v>
      </c>
    </row>
    <row r="4" spans="1:13" x14ac:dyDescent="0.25">
      <c r="A4">
        <v>3</v>
      </c>
      <c r="B4">
        <v>110</v>
      </c>
      <c r="C4" s="4">
        <f>L4/B4</f>
        <v>1.6</v>
      </c>
      <c r="D4">
        <v>106</v>
      </c>
      <c r="E4" s="6">
        <f t="shared" si="0"/>
        <v>0.2864864864864865</v>
      </c>
      <c r="F4" s="1">
        <v>0.80420000000000003</v>
      </c>
      <c r="G4" s="1">
        <v>0.57299999999999995</v>
      </c>
      <c r="H4">
        <v>330</v>
      </c>
      <c r="I4" s="6">
        <f t="shared" si="1"/>
        <v>0.89189189189189189</v>
      </c>
      <c r="K4" s="5">
        <f>M4/B4</f>
        <v>0.57272727272727275</v>
      </c>
      <c r="L4">
        <v>176</v>
      </c>
      <c r="M4">
        <v>63</v>
      </c>
    </row>
    <row r="5" spans="1:13" x14ac:dyDescent="0.25">
      <c r="A5">
        <v>4</v>
      </c>
      <c r="B5">
        <v>116</v>
      </c>
      <c r="C5" s="4">
        <f>L5/B5</f>
        <v>1.146551724137931</v>
      </c>
      <c r="D5">
        <v>286</v>
      </c>
      <c r="E5" s="6">
        <f>D5/370</f>
        <v>0.77297297297297296</v>
      </c>
      <c r="F5" s="7">
        <v>0.87009999999999998</v>
      </c>
      <c r="G5" s="7">
        <v>0.57799999999999996</v>
      </c>
      <c r="H5" s="3">
        <v>350</v>
      </c>
      <c r="I5" s="6">
        <f>H5/370</f>
        <v>0.94594594594594594</v>
      </c>
      <c r="K5" s="5">
        <f>M5/B5</f>
        <v>0.57758620689655171</v>
      </c>
      <c r="L5">
        <v>133</v>
      </c>
      <c r="M5">
        <v>67</v>
      </c>
    </row>
    <row r="6" spans="1:13" x14ac:dyDescent="0.25">
      <c r="K6" s="5"/>
    </row>
    <row r="8" spans="1:13" x14ac:dyDescent="0.25">
      <c r="C8" t="s">
        <v>14</v>
      </c>
    </row>
    <row r="9" spans="1:13" x14ac:dyDescent="0.25">
      <c r="A9" t="s">
        <v>0</v>
      </c>
      <c r="C9" t="s">
        <v>11</v>
      </c>
      <c r="D9" t="s">
        <v>10</v>
      </c>
      <c r="F9" t="s">
        <v>9</v>
      </c>
      <c r="G9" t="s">
        <v>12</v>
      </c>
      <c r="H9" t="s">
        <v>13</v>
      </c>
    </row>
    <row r="10" spans="1:13" x14ac:dyDescent="0.25">
      <c r="A10">
        <v>1</v>
      </c>
      <c r="C10" s="2">
        <f>C2/MAX($C$2:$C$5)</f>
        <v>0.81129807692307687</v>
      </c>
      <c r="D10" s="2">
        <f>D2/MAX(D$2:D$5)</f>
        <v>1</v>
      </c>
      <c r="E10" s="2"/>
      <c r="F10" s="2">
        <f t="shared" ref="F10:H10" si="2">F2/MAX(F$2:F$5)</f>
        <v>0.89219629927594535</v>
      </c>
      <c r="G10" s="2">
        <f>G2/MAX(G$2:G$5)</f>
        <v>0.94809688581314888</v>
      </c>
      <c r="H10" s="2">
        <f t="shared" si="2"/>
        <v>0.60285714285714287</v>
      </c>
    </row>
    <row r="11" spans="1:13" x14ac:dyDescent="0.25">
      <c r="A11">
        <v>2</v>
      </c>
      <c r="C11" s="2">
        <f t="shared" ref="C11:C13" si="3">C3/MAX($C$2:$C$5)</f>
        <v>0.82479508196721307</v>
      </c>
      <c r="D11" s="2">
        <f t="shared" ref="D11:H13" si="4">D3/MAX(D$2:D$5)</f>
        <v>0.78289473684210531</v>
      </c>
      <c r="E11" s="2"/>
      <c r="F11" s="2">
        <f t="shared" si="4"/>
        <v>0.90897597977244005</v>
      </c>
      <c r="G11" s="2">
        <f>G3/MAX(G$2:G$5)</f>
        <v>0.92214532871972332</v>
      </c>
      <c r="H11" s="2">
        <f t="shared" si="4"/>
        <v>0.88</v>
      </c>
    </row>
    <row r="12" spans="1:13" x14ac:dyDescent="0.25">
      <c r="A12">
        <v>3</v>
      </c>
      <c r="C12" s="2">
        <f t="shared" si="3"/>
        <v>1</v>
      </c>
      <c r="D12" s="2">
        <f t="shared" si="4"/>
        <v>0.34868421052631576</v>
      </c>
      <c r="E12" s="2"/>
      <c r="F12" s="2">
        <f t="shared" si="4"/>
        <v>0.92426157912883578</v>
      </c>
      <c r="G12" s="2">
        <f>G4/MAX(G$2:G$5)</f>
        <v>0.99134948096885811</v>
      </c>
      <c r="H12" s="2">
        <f t="shared" si="4"/>
        <v>0.94285714285714284</v>
      </c>
    </row>
    <row r="13" spans="1:13" x14ac:dyDescent="0.25">
      <c r="A13">
        <v>4</v>
      </c>
      <c r="C13" s="2">
        <f t="shared" si="3"/>
        <v>0.71659482758620685</v>
      </c>
      <c r="D13" s="2">
        <f t="shared" si="4"/>
        <v>0.94078947368421051</v>
      </c>
      <c r="E13" s="2"/>
      <c r="F13" s="2">
        <f t="shared" si="4"/>
        <v>1</v>
      </c>
      <c r="G13" s="2">
        <f>G5/MAX(G$2:G$5)</f>
        <v>1</v>
      </c>
      <c r="H13" s="2">
        <f t="shared" si="4"/>
        <v>1</v>
      </c>
    </row>
    <row r="18" spans="1:1" x14ac:dyDescent="0.25">
      <c r="A18">
        <f>286/370</f>
        <v>0.77297297297297296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Abdallah</dc:creator>
  <cp:lastModifiedBy>Mohamed, Abdallah</cp:lastModifiedBy>
  <dcterms:created xsi:type="dcterms:W3CDTF">2024-06-26T23:42:12Z</dcterms:created>
  <dcterms:modified xsi:type="dcterms:W3CDTF">2025-11-14T02:00:30Z</dcterms:modified>
</cp:coreProperties>
</file>