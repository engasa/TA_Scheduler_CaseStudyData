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cca-my.sharepoint.com/personal/abdallah_mohamed_ubc_ca/Documents/_UBCO/Educational Leadership/3. Papers/In_Progress/Journals/TA Scheduling/1. Prep/CaseStudies/_2023W1-used in paper/_posted online for reviewers/2. Results/"/>
    </mc:Choice>
  </mc:AlternateContent>
  <xr:revisionPtr revIDLastSave="90" documentId="8_{0281D746-53C8-4ABE-A4EB-9619B4105273}" xr6:coauthVersionLast="47" xr6:coauthVersionMax="47" xr10:uidLastSave="{4B20A813-A95D-493A-A5F7-87DAFD9E28F5}"/>
  <bookViews>
    <workbookView xWindow="5940" yWindow="4740" windowWidth="21600" windowHeight="11295" activeTab="1" xr2:uid="{772DD038-E570-4C78-98CD-B7FD9932946C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2" l="1"/>
  <c r="L5" i="2"/>
  <c r="L6" i="2"/>
  <c r="L3" i="2"/>
  <c r="T6" i="2"/>
  <c r="V6" i="2" s="1"/>
  <c r="Q6" i="2"/>
  <c r="P6" i="2"/>
  <c r="N6" i="2"/>
  <c r="H6" i="2"/>
  <c r="E6" i="2"/>
  <c r="T5" i="2"/>
  <c r="V5" i="2" s="1"/>
  <c r="Q5" i="2"/>
  <c r="P5" i="2"/>
  <c r="N5" i="2"/>
  <c r="H5" i="2"/>
  <c r="E5" i="2"/>
  <c r="T4" i="2"/>
  <c r="V4" i="2" s="1"/>
  <c r="Q4" i="2"/>
  <c r="P4" i="2"/>
  <c r="N4" i="2"/>
  <c r="H4" i="2"/>
  <c r="E4" i="2"/>
  <c r="T3" i="2"/>
  <c r="V3" i="2" s="1"/>
  <c r="Q3" i="2"/>
  <c r="P3" i="2"/>
  <c r="N3" i="2"/>
  <c r="H3" i="2"/>
  <c r="E3" i="2"/>
  <c r="S7" i="1"/>
  <c r="P7" i="1"/>
  <c r="O7" i="1"/>
  <c r="M7" i="1"/>
  <c r="H7" i="1"/>
  <c r="E7" i="1"/>
  <c r="M4" i="1"/>
  <c r="M5" i="1"/>
  <c r="M6" i="1"/>
  <c r="M3" i="1"/>
  <c r="P3" i="1"/>
  <c r="P4" i="1"/>
  <c r="P5" i="1"/>
  <c r="P6" i="1"/>
  <c r="O4" i="1"/>
  <c r="O5" i="1"/>
  <c r="O6" i="1"/>
  <c r="O3" i="1"/>
  <c r="S4" i="1"/>
  <c r="S5" i="1"/>
  <c r="S6" i="1"/>
  <c r="S3" i="1"/>
  <c r="E4" i="1"/>
  <c r="E5" i="1"/>
  <c r="E6" i="1"/>
  <c r="E3" i="1"/>
  <c r="H4" i="1"/>
  <c r="H5" i="1"/>
  <c r="H6" i="1"/>
  <c r="H3" i="1"/>
</calcChain>
</file>

<file path=xl/sharedStrings.xml><?xml version="1.0" encoding="utf-8"?>
<sst xmlns="http://schemas.openxmlformats.org/spreadsheetml/2006/main" count="59" uniqueCount="28">
  <si>
    <t>Iteration Number</t>
  </si>
  <si>
    <t># of Assigned TAs</t>
  </si>
  <si>
    <t>T=G</t>
  </si>
  <si>
    <t>Top Priority</t>
  </si>
  <si>
    <t>Second Priority</t>
  </si>
  <si>
    <t>Neither</t>
  </si>
  <si>
    <t>T !G</t>
  </si>
  <si>
    <t>G !T</t>
  </si>
  <si>
    <t>OB2: T/G Correclation</t>
  </si>
  <si>
    <t>OB3: GPA</t>
  </si>
  <si>
    <t>OB4: Prior Exp</t>
  </si>
  <si>
    <t>OB5: TA Prefs</t>
  </si>
  <si>
    <t>OB1: Labs From Same Course</t>
  </si>
  <si>
    <t>UTAs Prep Tasks</t>
  </si>
  <si>
    <t>GTAs Prep Tasks</t>
  </si>
  <si>
    <t>Tot Prep Tasks</t>
  </si>
  <si>
    <t>UTAs Prep Hours</t>
  </si>
  <si>
    <t>GTAs Prep Hours</t>
  </si>
  <si>
    <t>Tot Prep Hours</t>
  </si>
  <si>
    <t>Labs</t>
  </si>
  <si>
    <t>Courses</t>
  </si>
  <si>
    <t>Num TAs</t>
  </si>
  <si>
    <t>Tot Num Tasks</t>
  </si>
  <si>
    <t>useful to get insight on Tot Prep Tasks</t>
  </si>
  <si>
    <t>Top or Second Priority</t>
  </si>
  <si>
    <t>scaled for chart</t>
  </si>
  <si>
    <t>%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</si>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</sst>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0" fontId="3" fillId="0" borderId="5" xfId="0" applyNumberFormat="1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Continuous" vertical="center" wrapText="1"/>
    </xf>
    <xf numFmtId="0" fontId="2" fillId="0" borderId="3" xfId="0" applyFont="1" applyBorder="1" applyAlignment="1">
      <alignment horizontal="centerContinuous" vertical="center" wrapText="1"/>
    </xf>
    <xf numFmtId="0" fontId="2" fillId="0" borderId="2" xfId="0" applyFont="1" applyBorder="1" applyAlignment="1">
      <alignment horizontal="centerContinuous" vertical="center" wrapText="1"/>
    </xf>
    <xf numFmtId="164" fontId="3" fillId="0" borderId="5" xfId="1" applyNumberFormat="1" applyFont="1" applyBorder="1" applyAlignment="1">
      <alignment vertical="center" wrapText="1"/>
    </xf>
    <xf numFmtId="0" fontId="4" fillId="0" borderId="0" xfId="0" applyFont="1"/>
    <xf numFmtId="0" fontId="3" fillId="0" borderId="5" xfId="1" applyNumberFormat="1" applyFont="1" applyBorder="1" applyAlignment="1">
      <alignment vertical="center" wrapText="1"/>
    </xf>
    <xf numFmtId="165" fontId="3" fillId="0" borderId="5" xfId="1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9" fontId="3" fillId="0" borderId="2" xfId="1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10" fontId="3" fillId="2" borderId="5" xfId="0" applyNumberFormat="1" applyFont="1" applyFill="1" applyBorder="1" applyAlignment="1">
      <alignment vertical="center" wrapText="1"/>
    </xf>
    <xf numFmtId="9" fontId="3" fillId="2" borderId="2" xfId="1" applyFont="1" applyFill="1" applyBorder="1" applyAlignment="1">
      <alignment vertical="center" wrapText="1"/>
    </xf>
    <xf numFmtId="164" fontId="3" fillId="2" borderId="5" xfId="1" applyNumberFormat="1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# of Assigned TAs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Sheet1!$B$3:$B$7</c:f>
              <c:numCache>
                <c:formatCode>General</c:formatCode>
                <c:ptCount val="5"/>
                <c:pt idx="0">
                  <c:v>104</c:v>
                </c:pt>
                <c:pt idx="1">
                  <c:v>122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418-4B55-AC75-A315162D7996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Tot Prep Tasks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Sheet1!$E$3:$E$7</c:f>
              <c:numCache>
                <c:formatCode>General</c:formatCode>
                <c:ptCount val="5"/>
                <c:pt idx="0">
                  <c:v>135</c:v>
                </c:pt>
                <c:pt idx="1">
                  <c:v>161</c:v>
                </c:pt>
                <c:pt idx="2">
                  <c:v>176</c:v>
                </c:pt>
                <c:pt idx="3">
                  <c:v>161</c:v>
                </c:pt>
                <c:pt idx="4">
                  <c:v>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418-4B55-AC75-A315162D7996}"/>
            </c:ext>
          </c:extLst>
        </c:ser>
        <c:ser>
          <c:idx val="2"/>
          <c:order val="2"/>
          <c:tx>
            <c:strRef>
              <c:f>Sheet1!$I$2</c:f>
              <c:strCache>
                <c:ptCount val="1"/>
                <c:pt idx="0">
                  <c:v>T=G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Sheet1!$I$3:$I$7</c:f>
              <c:numCache>
                <c:formatCode>General</c:formatCode>
                <c:ptCount val="5"/>
                <c:pt idx="0">
                  <c:v>304</c:v>
                </c:pt>
                <c:pt idx="1">
                  <c:v>238</c:v>
                </c:pt>
                <c:pt idx="2">
                  <c:v>106</c:v>
                </c:pt>
                <c:pt idx="3">
                  <c:v>236</c:v>
                </c:pt>
                <c:pt idx="4">
                  <c:v>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418-4B55-AC75-A315162D7996}"/>
            </c:ext>
          </c:extLst>
        </c:ser>
        <c:ser>
          <c:idx val="3"/>
          <c:order val="3"/>
          <c:tx>
            <c:strRef>
              <c:f>Sheet1!$J$2</c:f>
              <c:strCache>
                <c:ptCount val="1"/>
                <c:pt idx="0">
                  <c:v>T !G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Sheet1!$J$3:$J$7</c:f>
              <c:numCache>
                <c:formatCode>General</c:formatCode>
                <c:ptCount val="5"/>
                <c:pt idx="0">
                  <c:v>30</c:v>
                </c:pt>
                <c:pt idx="1">
                  <c:v>63</c:v>
                </c:pt>
                <c:pt idx="2">
                  <c:v>129</c:v>
                </c:pt>
                <c:pt idx="3">
                  <c:v>64</c:v>
                </c:pt>
                <c:pt idx="4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418-4B55-AC75-A315162D7996}"/>
            </c:ext>
          </c:extLst>
        </c:ser>
        <c:ser>
          <c:idx val="4"/>
          <c:order val="4"/>
          <c:tx>
            <c:strRef>
              <c:f>Sheet1!$K$2</c:f>
              <c:strCache>
                <c:ptCount val="1"/>
                <c:pt idx="0">
                  <c:v>G !T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Sheet1!$K$3:$K$7</c:f>
              <c:numCache>
                <c:formatCode>General</c:formatCode>
                <c:ptCount val="5"/>
                <c:pt idx="0">
                  <c:v>36</c:v>
                </c:pt>
                <c:pt idx="1">
                  <c:v>69</c:v>
                </c:pt>
                <c:pt idx="2">
                  <c:v>135</c:v>
                </c:pt>
                <c:pt idx="3">
                  <c:v>70</c:v>
                </c:pt>
                <c:pt idx="4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418-4B55-AC75-A315162D7996}"/>
            </c:ext>
          </c:extLst>
        </c:ser>
        <c:ser>
          <c:idx val="5"/>
          <c:order val="5"/>
          <c:tx>
            <c:strRef>
              <c:f>Sheet1!$L$1</c:f>
              <c:strCache>
                <c:ptCount val="1"/>
                <c:pt idx="0">
                  <c:v>OB3: GPA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Sheet1!$M$3:$M$7</c:f>
              <c:numCache>
                <c:formatCode>General</c:formatCode>
                <c:ptCount val="5"/>
                <c:pt idx="0">
                  <c:v>232.89</c:v>
                </c:pt>
                <c:pt idx="1">
                  <c:v>237.27</c:v>
                </c:pt>
                <c:pt idx="2">
                  <c:v>241.26000000000002</c:v>
                </c:pt>
                <c:pt idx="3">
                  <c:v>235.47</c:v>
                </c:pt>
                <c:pt idx="4">
                  <c:v>260.19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418-4B55-AC75-A315162D7996}"/>
            </c:ext>
          </c:extLst>
        </c:ser>
        <c:ser>
          <c:idx val="6"/>
          <c:order val="6"/>
          <c:tx>
            <c:strRef>
              <c:f>Sheet1!$N$1</c:f>
              <c:strCache>
                <c:ptCount val="1"/>
                <c:pt idx="0">
                  <c:v>OB4: Prior Exp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Sheet1!$P$3:$P$7</c:f>
              <c:numCache>
                <c:formatCode>0.0</c:formatCode>
                <c:ptCount val="5"/>
                <c:pt idx="0">
                  <c:v>274.03846153846155</c:v>
                </c:pt>
                <c:pt idx="1">
                  <c:v>266.39344262295083</c:v>
                </c:pt>
                <c:pt idx="2">
                  <c:v>286.36363636363637</c:v>
                </c:pt>
                <c:pt idx="3">
                  <c:v>281.81818181818181</c:v>
                </c:pt>
                <c:pt idx="4">
                  <c:v>304.54545454545456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418-4B55-AC75-A315162D7996}"/>
            </c:ext>
          </c:extLst>
        </c:ser>
        <c:ser>
          <c:idx val="7"/>
          <c:order val="7"/>
          <c:tx>
            <c:strRef>
              <c:f>Sheet1!$S$2</c:f>
              <c:strCache>
                <c:ptCount val="1"/>
                <c:pt idx="0">
                  <c:v>Top or Second Priority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Sheet1!$S$3:$S$7</c:f>
              <c:numCache>
                <c:formatCode>General</c:formatCode>
                <c:ptCount val="5"/>
                <c:pt idx="0">
                  <c:v>211</c:v>
                </c:pt>
                <c:pt idx="1">
                  <c:v>308</c:v>
                </c:pt>
                <c:pt idx="2">
                  <c:v>330</c:v>
                </c:pt>
                <c:pt idx="3">
                  <c:v>308</c:v>
                </c:pt>
                <c:pt idx="4">
                  <c:v>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418-4B55-AC75-A315162D7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835759"/>
        <c:axId val="1365834511"/>
      </c:scatterChart>
      <c:valAx>
        <c:axId val="1365835759"/>
        <c:scaling>
          <c:orientation val="minMax"/>
          <c:max val="4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834511"/>
        <c:crosses val="autoZero"/>
        <c:crossBetween val="midCat"/>
        <c:majorUnit val="1"/>
      </c:valAx>
      <c:valAx>
        <c:axId val="136583451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65835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74084</xdr:colOff>
      <xdr:row>9</xdr:row>
      <xdr:rowOff>28927</xdr:rowOff>
    </xdr:from>
    <xdr:to>
      <xdr:col>18</xdr:col>
      <xdr:colOff>134057</xdr:colOff>
      <xdr:row>23</xdr:row>
      <xdr:rowOff>105127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02661A-489F-4F3B-A4CE-CB8CEBDC9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BF8C-1C9D-4EB8-A240-C38B33E57687}">
  <dimension ref="A1:T12"/>
  <sheetViews>
    <sheetView zoomScale="135" workbookViewId="0">
      <selection activeCell="L8" sqref="L8"/>
    </sheetView>
  </sheetViews>
  <sheetFormatPr defaultRowHeight="15" x14ac:dyDescent="0.25"/>
  <cols>
    <col min="3" max="8" width="8" customWidth="1"/>
    <col min="9" max="11" width="4.28515625" bestFit="1" customWidth="1"/>
    <col min="12" max="12" width="8.7109375" bestFit="1" customWidth="1"/>
    <col min="13" max="15" width="8.7109375" customWidth="1"/>
    <col min="16" max="16" width="7.5703125" customWidth="1"/>
  </cols>
  <sheetData>
    <row r="1" spans="1:20" ht="27.75" thickBot="1" x14ac:dyDescent="0.3">
      <c r="A1" s="1" t="s">
        <v>0</v>
      </c>
      <c r="B1" s="2" t="s">
        <v>1</v>
      </c>
      <c r="C1" s="11" t="s">
        <v>12</v>
      </c>
      <c r="D1" s="12"/>
      <c r="E1" s="12"/>
      <c r="F1" s="12"/>
      <c r="G1" s="12"/>
      <c r="H1" s="13"/>
      <c r="I1" s="11" t="s">
        <v>8</v>
      </c>
      <c r="J1" s="12"/>
      <c r="K1" s="13"/>
      <c r="L1" s="9" t="s">
        <v>9</v>
      </c>
      <c r="M1" s="10"/>
      <c r="N1" s="11" t="s">
        <v>10</v>
      </c>
      <c r="O1" s="12"/>
      <c r="P1" s="13"/>
      <c r="Q1" s="11" t="s">
        <v>11</v>
      </c>
      <c r="R1" s="12"/>
      <c r="S1" s="12"/>
      <c r="T1" s="13"/>
    </row>
    <row r="2" spans="1:20" ht="27.75" thickBot="1" x14ac:dyDescent="0.3">
      <c r="A2" s="3"/>
      <c r="B2" s="4"/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2</v>
      </c>
      <c r="J2" s="5" t="s">
        <v>6</v>
      </c>
      <c r="K2" s="4" t="s">
        <v>7</v>
      </c>
      <c r="L2" s="4" t="s">
        <v>26</v>
      </c>
      <c r="M2" s="4" t="s">
        <v>25</v>
      </c>
      <c r="N2" s="4"/>
      <c r="O2" s="4" t="s">
        <v>26</v>
      </c>
      <c r="P2" s="4" t="s">
        <v>25</v>
      </c>
      <c r="Q2" s="4" t="s">
        <v>3</v>
      </c>
      <c r="R2" s="4" t="s">
        <v>4</v>
      </c>
      <c r="S2" s="4" t="s">
        <v>24</v>
      </c>
      <c r="T2" s="4" t="s">
        <v>5</v>
      </c>
    </row>
    <row r="3" spans="1:20" ht="15.75" thickBot="1" x14ac:dyDescent="0.3">
      <c r="A3" s="6">
        <v>1</v>
      </c>
      <c r="B3" s="7">
        <v>104</v>
      </c>
      <c r="C3" s="7">
        <v>36</v>
      </c>
      <c r="D3" s="7">
        <v>99</v>
      </c>
      <c r="E3" s="5">
        <f>SUM(C3:D3)</f>
        <v>135</v>
      </c>
      <c r="F3" s="7">
        <v>69</v>
      </c>
      <c r="G3" s="7">
        <v>178</v>
      </c>
      <c r="H3" s="5">
        <f>SUM(F3:G3)</f>
        <v>247</v>
      </c>
      <c r="I3" s="7">
        <v>304</v>
      </c>
      <c r="J3" s="7">
        <v>30</v>
      </c>
      <c r="K3" s="7">
        <v>36</v>
      </c>
      <c r="L3" s="8">
        <v>0.77629999999999999</v>
      </c>
      <c r="M3" s="16">
        <f>L3*300</f>
        <v>232.89</v>
      </c>
      <c r="N3" s="7">
        <v>57</v>
      </c>
      <c r="O3" s="14">
        <f>N3/B3</f>
        <v>0.54807692307692313</v>
      </c>
      <c r="P3" s="17">
        <f>N3/B3*500</f>
        <v>274.03846153846155</v>
      </c>
      <c r="Q3" s="7">
        <v>98</v>
      </c>
      <c r="R3" s="7">
        <v>113</v>
      </c>
      <c r="S3" s="7">
        <f>R3+Q3</f>
        <v>211</v>
      </c>
      <c r="T3" s="7">
        <v>159</v>
      </c>
    </row>
    <row r="4" spans="1:20" ht="15.75" thickBot="1" x14ac:dyDescent="0.3">
      <c r="A4" s="6">
        <v>2</v>
      </c>
      <c r="B4" s="7">
        <v>122</v>
      </c>
      <c r="C4" s="7">
        <v>54</v>
      </c>
      <c r="D4" s="7">
        <v>107</v>
      </c>
      <c r="E4" s="5">
        <f t="shared" ref="E4:E7" si="0">SUM(C4:D4)</f>
        <v>161</v>
      </c>
      <c r="F4" s="7">
        <v>102</v>
      </c>
      <c r="G4" s="7">
        <v>192</v>
      </c>
      <c r="H4" s="5">
        <f t="shared" ref="H4:H7" si="1">SUM(F4:G4)</f>
        <v>294</v>
      </c>
      <c r="I4" s="7">
        <v>238</v>
      </c>
      <c r="J4" s="7">
        <v>63</v>
      </c>
      <c r="K4" s="7">
        <v>69</v>
      </c>
      <c r="L4" s="8">
        <v>0.79090000000000005</v>
      </c>
      <c r="M4" s="16">
        <f t="shared" ref="M4:M7" si="2">L4*300</f>
        <v>237.27</v>
      </c>
      <c r="N4" s="7">
        <v>65</v>
      </c>
      <c r="O4" s="14">
        <f>N4/B4</f>
        <v>0.53278688524590168</v>
      </c>
      <c r="P4" s="17">
        <f>N4/B4*500</f>
        <v>266.39344262295083</v>
      </c>
      <c r="Q4" s="7">
        <v>228</v>
      </c>
      <c r="R4" s="7">
        <v>80</v>
      </c>
      <c r="S4" s="7">
        <f t="shared" ref="S4:S7" si="3">R4+Q4</f>
        <v>308</v>
      </c>
      <c r="T4" s="7">
        <v>62</v>
      </c>
    </row>
    <row r="5" spans="1:20" ht="15.75" thickBot="1" x14ac:dyDescent="0.3">
      <c r="A5" s="6">
        <v>3</v>
      </c>
      <c r="B5" s="7">
        <v>110</v>
      </c>
      <c r="C5" s="7">
        <v>47</v>
      </c>
      <c r="D5" s="7">
        <v>129</v>
      </c>
      <c r="E5" s="5">
        <f t="shared" si="0"/>
        <v>176</v>
      </c>
      <c r="F5" s="7">
        <v>90</v>
      </c>
      <c r="G5" s="7">
        <v>226</v>
      </c>
      <c r="H5" s="5">
        <f t="shared" si="1"/>
        <v>316</v>
      </c>
      <c r="I5" s="7">
        <v>106</v>
      </c>
      <c r="J5" s="7">
        <v>129</v>
      </c>
      <c r="K5" s="7">
        <v>135</v>
      </c>
      <c r="L5" s="8">
        <v>0.80420000000000003</v>
      </c>
      <c r="M5" s="16">
        <f t="shared" si="2"/>
        <v>241.26000000000002</v>
      </c>
      <c r="N5" s="7">
        <v>63</v>
      </c>
      <c r="O5" s="14">
        <f>N5/B5</f>
        <v>0.57272727272727275</v>
      </c>
      <c r="P5" s="17">
        <f>N5/B5*500</f>
        <v>286.36363636363637</v>
      </c>
      <c r="Q5" s="7">
        <v>223</v>
      </c>
      <c r="R5" s="7">
        <v>107</v>
      </c>
      <c r="S5" s="7">
        <f t="shared" si="3"/>
        <v>330</v>
      </c>
      <c r="T5" s="7">
        <v>40</v>
      </c>
    </row>
    <row r="6" spans="1:20" ht="15.75" thickBot="1" x14ac:dyDescent="0.3">
      <c r="A6" s="6">
        <v>4</v>
      </c>
      <c r="B6" s="7">
        <v>110</v>
      </c>
      <c r="C6" s="7">
        <v>51</v>
      </c>
      <c r="D6" s="7">
        <v>110</v>
      </c>
      <c r="E6" s="5">
        <f t="shared" si="0"/>
        <v>161</v>
      </c>
      <c r="F6" s="7">
        <v>96</v>
      </c>
      <c r="G6" s="7">
        <v>198</v>
      </c>
      <c r="H6" s="5">
        <f t="shared" si="1"/>
        <v>294</v>
      </c>
      <c r="I6" s="7">
        <v>236</v>
      </c>
      <c r="J6" s="7">
        <v>64</v>
      </c>
      <c r="K6" s="7">
        <v>70</v>
      </c>
      <c r="L6" s="8">
        <v>0.78490000000000004</v>
      </c>
      <c r="M6" s="16">
        <f t="shared" si="2"/>
        <v>235.47</v>
      </c>
      <c r="N6" s="7">
        <v>62</v>
      </c>
      <c r="O6" s="14">
        <f>N6/B6</f>
        <v>0.5636363636363636</v>
      </c>
      <c r="P6" s="17">
        <f>N6/B6*500</f>
        <v>281.81818181818181</v>
      </c>
      <c r="Q6" s="7">
        <v>230</v>
      </c>
      <c r="R6" s="7">
        <v>78</v>
      </c>
      <c r="S6" s="7">
        <f t="shared" si="3"/>
        <v>308</v>
      </c>
      <c r="T6" s="7">
        <v>62</v>
      </c>
    </row>
    <row r="7" spans="1:20" ht="15.75" thickBot="1" x14ac:dyDescent="0.3">
      <c r="A7" s="18">
        <v>5</v>
      </c>
      <c r="B7" s="19">
        <v>110</v>
      </c>
      <c r="C7" s="19">
        <v>47</v>
      </c>
      <c r="D7" s="19">
        <v>86</v>
      </c>
      <c r="E7" s="5">
        <f t="shared" si="0"/>
        <v>133</v>
      </c>
      <c r="F7" s="19">
        <v>103</v>
      </c>
      <c r="G7" s="19">
        <v>186</v>
      </c>
      <c r="H7" s="5">
        <f t="shared" si="1"/>
        <v>289</v>
      </c>
      <c r="I7" s="19">
        <v>286</v>
      </c>
      <c r="J7" s="19">
        <v>39</v>
      </c>
      <c r="K7" s="19">
        <v>45</v>
      </c>
      <c r="L7" s="20">
        <v>0.86729999999999996</v>
      </c>
      <c r="M7" s="16">
        <f t="shared" si="2"/>
        <v>260.19</v>
      </c>
      <c r="N7" s="19">
        <v>67</v>
      </c>
      <c r="O7" s="14">
        <f>N7/B7</f>
        <v>0.60909090909090913</v>
      </c>
      <c r="P7" s="17">
        <f>N7/B7*500</f>
        <v>304.54545454545456</v>
      </c>
      <c r="Q7" s="19">
        <v>298</v>
      </c>
      <c r="R7" s="19">
        <v>52</v>
      </c>
      <c r="S7" s="7">
        <f t="shared" si="3"/>
        <v>350</v>
      </c>
      <c r="T7" s="19">
        <v>20</v>
      </c>
    </row>
    <row r="9" spans="1:20" x14ac:dyDescent="0.25">
      <c r="A9" s="15" t="s">
        <v>20</v>
      </c>
      <c r="B9" s="15"/>
      <c r="C9" s="15">
        <v>59</v>
      </c>
    </row>
    <row r="10" spans="1:20" x14ac:dyDescent="0.25">
      <c r="A10" s="15" t="s">
        <v>19</v>
      </c>
      <c r="B10" s="15"/>
      <c r="C10" s="15">
        <v>181</v>
      </c>
    </row>
    <row r="11" spans="1:20" x14ac:dyDescent="0.25">
      <c r="A11" s="15" t="s">
        <v>22</v>
      </c>
      <c r="B11" s="15"/>
      <c r="C11" s="15">
        <v>370</v>
      </c>
      <c r="D11" t="s">
        <v>23</v>
      </c>
    </row>
    <row r="12" spans="1:20" x14ac:dyDescent="0.25">
      <c r="A12" s="15" t="s">
        <v>21</v>
      </c>
      <c r="B12" s="15"/>
      <c r="C12" s="15">
        <v>110</v>
      </c>
    </row>
  </sheetData>
  <pageMargins left="0.7" right="0.7" top="0.75" bottom="0.75" header="0.3" footer="0.3"/>
  <pageSetup orientation="portrait" r:id="rId1"/>
  <ignoredErrors>
    <ignoredError sqref="E3:E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1390-EF1A-49A5-BABC-B90290E8E317}">
  <dimension ref="A1:V9"/>
  <sheetViews>
    <sheetView tabSelected="1" zoomScale="149" zoomScaleNormal="135" workbookViewId="0">
      <selection activeCell="H9" sqref="H9"/>
    </sheetView>
  </sheetViews>
  <sheetFormatPr defaultRowHeight="15" x14ac:dyDescent="0.25"/>
  <cols>
    <col min="3" max="8" width="8" customWidth="1"/>
    <col min="9" max="11" width="4.28515625" bestFit="1" customWidth="1"/>
    <col min="12" max="12" width="4.28515625" customWidth="1"/>
    <col min="13" max="13" width="8.7109375" bestFit="1" customWidth="1"/>
    <col min="14" max="16" width="8.7109375" customWidth="1"/>
    <col min="17" max="17" width="7.5703125" customWidth="1"/>
  </cols>
  <sheetData>
    <row r="1" spans="1:22" ht="27.75" thickBot="1" x14ac:dyDescent="0.3">
      <c r="A1" s="23" t="s">
        <v>0</v>
      </c>
      <c r="B1" s="24" t="s">
        <v>1</v>
      </c>
      <c r="C1" s="11" t="s">
        <v>12</v>
      </c>
      <c r="D1" s="12"/>
      <c r="E1" s="12"/>
      <c r="F1" s="12"/>
      <c r="G1" s="12"/>
      <c r="H1" s="13"/>
      <c r="I1" s="11" t="s">
        <v>8</v>
      </c>
      <c r="J1" s="12"/>
      <c r="K1" s="13"/>
      <c r="L1" s="12"/>
      <c r="M1" s="9" t="s">
        <v>9</v>
      </c>
      <c r="N1" s="10"/>
      <c r="O1" s="11" t="s">
        <v>10</v>
      </c>
      <c r="P1" s="12"/>
      <c r="Q1" s="13"/>
      <c r="R1" s="11" t="s">
        <v>11</v>
      </c>
      <c r="S1" s="12"/>
      <c r="T1" s="12"/>
      <c r="U1" s="13"/>
      <c r="V1" s="13"/>
    </row>
    <row r="2" spans="1:22" ht="27.75" thickBot="1" x14ac:dyDescent="0.3">
      <c r="A2" s="25"/>
      <c r="B2" s="21"/>
      <c r="C2" s="4" t="s">
        <v>13</v>
      </c>
      <c r="D2" s="4" t="s">
        <v>14</v>
      </c>
      <c r="E2" s="21" t="s">
        <v>15</v>
      </c>
      <c r="F2" s="4" t="s">
        <v>16</v>
      </c>
      <c r="G2" s="4" t="s">
        <v>17</v>
      </c>
      <c r="H2" s="4" t="s">
        <v>18</v>
      </c>
      <c r="I2" s="21" t="s">
        <v>2</v>
      </c>
      <c r="J2" s="5" t="s">
        <v>6</v>
      </c>
      <c r="K2" s="4" t="s">
        <v>7</v>
      </c>
      <c r="L2" s="4" t="s">
        <v>27</v>
      </c>
      <c r="M2" s="21" t="s">
        <v>26</v>
      </c>
      <c r="N2" s="4" t="s">
        <v>25</v>
      </c>
      <c r="O2" s="21"/>
      <c r="P2" s="21" t="s">
        <v>26</v>
      </c>
      <c r="Q2" s="4" t="s">
        <v>25</v>
      </c>
      <c r="R2" s="4" t="s">
        <v>3</v>
      </c>
      <c r="S2" s="4" t="s">
        <v>4</v>
      </c>
      <c r="T2" s="4" t="s">
        <v>24</v>
      </c>
      <c r="U2" s="4" t="s">
        <v>5</v>
      </c>
      <c r="V2" s="4" t="s">
        <v>26</v>
      </c>
    </row>
    <row r="3" spans="1:22" ht="15.75" thickBot="1" x14ac:dyDescent="0.3">
      <c r="A3" s="26">
        <v>1</v>
      </c>
      <c r="B3" s="27">
        <v>104</v>
      </c>
      <c r="C3" s="7">
        <v>36</v>
      </c>
      <c r="D3" s="7">
        <v>99</v>
      </c>
      <c r="E3" s="22">
        <f>SUM(C3:D3)</f>
        <v>135</v>
      </c>
      <c r="F3" s="7">
        <v>69</v>
      </c>
      <c r="G3" s="7">
        <v>178</v>
      </c>
      <c r="H3" s="5">
        <f>SUM(F3:G3)</f>
        <v>247</v>
      </c>
      <c r="I3" s="27">
        <v>304</v>
      </c>
      <c r="J3" s="7">
        <v>30</v>
      </c>
      <c r="K3" s="7">
        <v>36</v>
      </c>
      <c r="L3" s="7">
        <f>SUM(I3:K3)</f>
        <v>370</v>
      </c>
      <c r="M3" s="30">
        <v>0.77629999999999999</v>
      </c>
      <c r="N3" s="16">
        <f>M3*300</f>
        <v>232.89</v>
      </c>
      <c r="O3" s="27">
        <v>57</v>
      </c>
      <c r="P3" s="32">
        <f t="shared" ref="P3:P6" si="0">O3/B3</f>
        <v>0.54807692307692313</v>
      </c>
      <c r="Q3" s="17">
        <f t="shared" ref="Q3:Q6" si="1">O3/B3*500</f>
        <v>274.03846153846155</v>
      </c>
      <c r="R3" s="7">
        <v>98</v>
      </c>
      <c r="S3" s="7">
        <v>113</v>
      </c>
      <c r="T3" s="7">
        <f>S3+R3</f>
        <v>211</v>
      </c>
      <c r="U3" s="7">
        <v>159</v>
      </c>
      <c r="V3" s="7">
        <f>T3/(T3+U3)</f>
        <v>0.57027027027027022</v>
      </c>
    </row>
    <row r="4" spans="1:22" ht="15.75" thickBot="1" x14ac:dyDescent="0.3">
      <c r="A4" s="26">
        <v>2</v>
      </c>
      <c r="B4" s="27">
        <v>122</v>
      </c>
      <c r="C4" s="7">
        <v>54</v>
      </c>
      <c r="D4" s="7">
        <v>107</v>
      </c>
      <c r="E4" s="22">
        <f t="shared" ref="E4:E6" si="2">SUM(C4:D4)</f>
        <v>161</v>
      </c>
      <c r="F4" s="7">
        <v>102</v>
      </c>
      <c r="G4" s="7">
        <v>192</v>
      </c>
      <c r="H4" s="5">
        <f t="shared" ref="H4:H6" si="3">SUM(F4:G4)</f>
        <v>294</v>
      </c>
      <c r="I4" s="27">
        <v>238</v>
      </c>
      <c r="J4" s="7">
        <v>63</v>
      </c>
      <c r="K4" s="7">
        <v>69</v>
      </c>
      <c r="L4" s="7">
        <f t="shared" ref="L4:L6" si="4">SUM(I4:K4)</f>
        <v>370</v>
      </c>
      <c r="M4" s="30">
        <v>0.79090000000000005</v>
      </c>
      <c r="N4" s="16">
        <f t="shared" ref="N4:N6" si="5">M4*300</f>
        <v>237.27</v>
      </c>
      <c r="O4" s="27">
        <v>65</v>
      </c>
      <c r="P4" s="32">
        <f t="shared" si="0"/>
        <v>0.53278688524590168</v>
      </c>
      <c r="Q4" s="17">
        <f t="shared" si="1"/>
        <v>266.39344262295083</v>
      </c>
      <c r="R4" s="7">
        <v>228</v>
      </c>
      <c r="S4" s="7">
        <v>80</v>
      </c>
      <c r="T4" s="7">
        <f t="shared" ref="T4:T6" si="6">S4+R4</f>
        <v>308</v>
      </c>
      <c r="U4" s="7">
        <v>62</v>
      </c>
      <c r="V4" s="7">
        <f t="shared" ref="V4:V6" si="7">T4/(T4+U4)</f>
        <v>0.83243243243243248</v>
      </c>
    </row>
    <row r="5" spans="1:22" ht="15.75" thickBot="1" x14ac:dyDescent="0.3">
      <c r="A5" s="26">
        <v>3</v>
      </c>
      <c r="B5" s="27">
        <v>110</v>
      </c>
      <c r="C5" s="7">
        <v>47</v>
      </c>
      <c r="D5" s="7">
        <v>129</v>
      </c>
      <c r="E5" s="22">
        <f t="shared" si="2"/>
        <v>176</v>
      </c>
      <c r="F5" s="7">
        <v>90</v>
      </c>
      <c r="G5" s="7">
        <v>226</v>
      </c>
      <c r="H5" s="5">
        <f t="shared" si="3"/>
        <v>316</v>
      </c>
      <c r="I5" s="27">
        <v>106</v>
      </c>
      <c r="J5" s="7">
        <v>129</v>
      </c>
      <c r="K5" s="7">
        <v>135</v>
      </c>
      <c r="L5" s="7">
        <f t="shared" si="4"/>
        <v>370</v>
      </c>
      <c r="M5" s="30">
        <v>0.80420000000000003</v>
      </c>
      <c r="N5" s="16">
        <f t="shared" si="5"/>
        <v>241.26000000000002</v>
      </c>
      <c r="O5" s="27">
        <v>63</v>
      </c>
      <c r="P5" s="32">
        <f t="shared" si="0"/>
        <v>0.57272727272727275</v>
      </c>
      <c r="Q5" s="17">
        <f t="shared" si="1"/>
        <v>286.36363636363637</v>
      </c>
      <c r="R5" s="7">
        <v>223</v>
      </c>
      <c r="S5" s="7">
        <v>107</v>
      </c>
      <c r="T5" s="7">
        <f t="shared" si="6"/>
        <v>330</v>
      </c>
      <c r="U5" s="7">
        <v>40</v>
      </c>
      <c r="V5" s="7">
        <f t="shared" si="7"/>
        <v>0.89189189189189189</v>
      </c>
    </row>
    <row r="6" spans="1:22" ht="15.75" thickBot="1" x14ac:dyDescent="0.3">
      <c r="A6" s="28">
        <v>4</v>
      </c>
      <c r="B6" s="29">
        <v>116</v>
      </c>
      <c r="C6" s="19">
        <v>47</v>
      </c>
      <c r="D6" s="19">
        <v>86</v>
      </c>
      <c r="E6" s="22">
        <f t="shared" si="2"/>
        <v>133</v>
      </c>
      <c r="F6" s="19">
        <v>103</v>
      </c>
      <c r="G6" s="19">
        <v>186</v>
      </c>
      <c r="H6" s="5">
        <f t="shared" si="3"/>
        <v>289</v>
      </c>
      <c r="I6" s="29">
        <v>286</v>
      </c>
      <c r="J6" s="19">
        <v>39</v>
      </c>
      <c r="K6" s="19">
        <v>45</v>
      </c>
      <c r="L6" s="7">
        <f t="shared" si="4"/>
        <v>370</v>
      </c>
      <c r="M6" s="31">
        <v>0.86729999999999996</v>
      </c>
      <c r="N6" s="16">
        <f t="shared" si="5"/>
        <v>260.19</v>
      </c>
      <c r="O6" s="29">
        <v>67</v>
      </c>
      <c r="P6" s="32">
        <f t="shared" si="0"/>
        <v>0.57758620689655171</v>
      </c>
      <c r="Q6" s="17">
        <f t="shared" si="1"/>
        <v>288.79310344827587</v>
      </c>
      <c r="R6" s="19">
        <v>298</v>
      </c>
      <c r="S6" s="19">
        <v>52</v>
      </c>
      <c r="T6" s="7">
        <f t="shared" si="6"/>
        <v>350</v>
      </c>
      <c r="U6" s="19">
        <v>20</v>
      </c>
      <c r="V6" s="7">
        <f t="shared" si="7"/>
        <v>0.94594594594594594</v>
      </c>
    </row>
    <row r="7" spans="1:22" x14ac:dyDescent="0.25">
      <c r="A7" s="15" t="s">
        <v>20</v>
      </c>
      <c r="B7" s="15"/>
      <c r="C7" s="15">
        <v>59</v>
      </c>
    </row>
    <row r="8" spans="1:22" x14ac:dyDescent="0.25">
      <c r="A8" s="15" t="s">
        <v>19</v>
      </c>
      <c r="B8" s="15"/>
      <c r="C8" s="15">
        <v>181</v>
      </c>
    </row>
    <row r="9" spans="1:22" x14ac:dyDescent="0.25">
      <c r="A9" s="15" t="s">
        <v>22</v>
      </c>
      <c r="B9" s="15"/>
      <c r="C9" s="15">
        <v>370</v>
      </c>
      <c r="D9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Abdallah</dc:creator>
  <cp:lastModifiedBy>Mohamed, Abdallah</cp:lastModifiedBy>
  <dcterms:created xsi:type="dcterms:W3CDTF">2023-10-17T17:13:35Z</dcterms:created>
  <dcterms:modified xsi:type="dcterms:W3CDTF">2025-11-14T01:58:55Z</dcterms:modified>
</cp:coreProperties>
</file>